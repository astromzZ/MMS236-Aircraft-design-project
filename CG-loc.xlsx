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vin\Documents\Kod\MMS236-Aircraft-design-project\"/>
    </mc:Choice>
  </mc:AlternateContent>
  <xr:revisionPtr revIDLastSave="0" documentId="13_ncr:1_{03820908-BB56-4EC1-B056-6FB99D5FCEB5}" xr6:coauthVersionLast="47" xr6:coauthVersionMax="47" xr10:uidLastSave="{00000000-0000-0000-0000-000000000000}"/>
  <bookViews>
    <workbookView xWindow="-108" yWindow="-108" windowWidth="23256" windowHeight="12456" xr2:uid="{F654CED2-9492-4B18-8D31-DA0C42F03B2A}"/>
  </bookViews>
  <sheets>
    <sheet name="CG Full payload + Full Fuel" sheetId="1" r:id="rId1"/>
    <sheet name="CG Zero Payload + Full Fuel" sheetId="2" r:id="rId2"/>
    <sheet name="CG Full Payload + Zero Fu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E9" i="1"/>
  <c r="D14" i="3"/>
  <c r="F14" i="3" s="1"/>
  <c r="C14" i="3"/>
  <c r="E14" i="3" s="1"/>
  <c r="F13" i="3"/>
  <c r="E13" i="3"/>
  <c r="B12" i="3"/>
  <c r="D11" i="3"/>
  <c r="C11" i="3"/>
  <c r="B11" i="3"/>
  <c r="F9" i="3"/>
  <c r="E9" i="3"/>
  <c r="F8" i="3"/>
  <c r="E8" i="3"/>
  <c r="F7" i="3"/>
  <c r="E7" i="3"/>
  <c r="B6" i="3"/>
  <c r="F5" i="3"/>
  <c r="E5" i="3"/>
  <c r="F4" i="3"/>
  <c r="E4" i="3"/>
  <c r="F3" i="3"/>
  <c r="E3" i="3"/>
  <c r="F2" i="3"/>
  <c r="E2" i="3"/>
  <c r="D14" i="2"/>
  <c r="F14" i="2" s="1"/>
  <c r="C14" i="2"/>
  <c r="E14" i="2" s="1"/>
  <c r="F13" i="2"/>
  <c r="E13" i="2"/>
  <c r="B12" i="2"/>
  <c r="D11" i="2"/>
  <c r="C11" i="2"/>
  <c r="B10" i="2"/>
  <c r="F9" i="2"/>
  <c r="E9" i="2"/>
  <c r="F8" i="2"/>
  <c r="E8" i="2"/>
  <c r="F7" i="2"/>
  <c r="E7" i="2"/>
  <c r="B6" i="2"/>
  <c r="F5" i="2"/>
  <c r="E5" i="2"/>
  <c r="F4" i="2"/>
  <c r="E4" i="2"/>
  <c r="F3" i="2"/>
  <c r="E3" i="2"/>
  <c r="F2" i="2"/>
  <c r="E2" i="2"/>
  <c r="D12" i="1"/>
  <c r="F12" i="1" s="1"/>
  <c r="D15" i="1"/>
  <c r="F15" i="1" s="1"/>
  <c r="F4" i="1"/>
  <c r="F5" i="1"/>
  <c r="F6" i="1"/>
  <c r="F8" i="1"/>
  <c r="F9" i="1"/>
  <c r="F10" i="1"/>
  <c r="F14" i="1"/>
  <c r="F3" i="1"/>
  <c r="C12" i="1"/>
  <c r="C15" i="1"/>
  <c r="E15" i="1" s="1"/>
  <c r="B13" i="1"/>
  <c r="B7" i="1"/>
  <c r="F7" i="1" s="1"/>
  <c r="B11" i="1"/>
  <c r="B12" i="1"/>
  <c r="E4" i="1"/>
  <c r="E5" i="1"/>
  <c r="E6" i="1"/>
  <c r="E7" i="1"/>
  <c r="E8" i="1"/>
  <c r="E10" i="1"/>
  <c r="E14" i="1"/>
  <c r="E3" i="1"/>
  <c r="E13" i="1" l="1"/>
  <c r="F13" i="1"/>
  <c r="E11" i="1"/>
  <c r="F11" i="1"/>
  <c r="F12" i="3"/>
  <c r="E12" i="3"/>
  <c r="F11" i="3"/>
  <c r="E11" i="3"/>
  <c r="F10" i="3"/>
  <c r="E10" i="3"/>
  <c r="B16" i="3"/>
  <c r="F6" i="3"/>
  <c r="F16" i="3" s="1"/>
  <c r="E6" i="3"/>
  <c r="E16" i="3" s="1"/>
  <c r="E18" i="3" s="1"/>
  <c r="F12" i="2"/>
  <c r="E12" i="2"/>
  <c r="F11" i="2"/>
  <c r="E11" i="2"/>
  <c r="F10" i="2"/>
  <c r="E10" i="2"/>
  <c r="B16" i="2"/>
  <c r="F6" i="2"/>
  <c r="E6" i="2"/>
  <c r="E16" i="2" s="1"/>
  <c r="E18" i="2" s="1"/>
  <c r="F17" i="1"/>
  <c r="F19" i="1" s="1"/>
  <c r="F21" i="1" s="1"/>
  <c r="B17" i="1"/>
  <c r="E12" i="1"/>
  <c r="E17" i="1"/>
  <c r="F18" i="3" l="1"/>
  <c r="F20" i="3" s="1"/>
  <c r="F16" i="2"/>
  <c r="F18" i="2" s="1"/>
  <c r="F20" i="2" s="1"/>
  <c r="E19" i="1"/>
</calcChain>
</file>

<file path=xl/sharedStrings.xml><?xml version="1.0" encoding="utf-8"?>
<sst xmlns="http://schemas.openxmlformats.org/spreadsheetml/2006/main" count="75" uniqueCount="25">
  <si>
    <t>Component</t>
  </si>
  <si>
    <t xml:space="preserve">Mass [kg] </t>
  </si>
  <si>
    <t>CG location x_i [m]</t>
  </si>
  <si>
    <t>Fuselage</t>
  </si>
  <si>
    <t>Wing</t>
  </si>
  <si>
    <t>Horizontal tail</t>
  </si>
  <si>
    <t>Vertical tail</t>
  </si>
  <si>
    <t>Engines</t>
  </si>
  <si>
    <t>Main landing gear</t>
  </si>
  <si>
    <t>Nose landing gear</t>
  </si>
  <si>
    <t>Hydrogen tanks</t>
  </si>
  <si>
    <t>Cockpit</t>
  </si>
  <si>
    <t>Freight</t>
  </si>
  <si>
    <t>Fuel</t>
  </si>
  <si>
    <t>Mass sum</t>
  </si>
  <si>
    <t xml:space="preserve">Passengers </t>
  </si>
  <si>
    <t>Lavoratories and seats</t>
  </si>
  <si>
    <t>Moment (m_i * x_i) [kg m]</t>
  </si>
  <si>
    <t>CG location z_i [m]</t>
  </si>
  <si>
    <t>Moment (m_i * z_i) [kg m]</t>
  </si>
  <si>
    <t>Moment sum x_i</t>
  </si>
  <si>
    <t>CG LOC X</t>
  </si>
  <si>
    <t>Moment sum z_i</t>
  </si>
  <si>
    <t>CG LOC Z (NO CORRECTION)</t>
  </si>
  <si>
    <t>CG LOC Z (WITH CORRECTION)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</si>
</sst>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2" fillId="0" borderId="3" xfId="0" applyFont="1" applyBorder="1"/>
    <xf numFmtId="164" fontId="3" fillId="0" borderId="0" xfId="0" applyNumberFormat="1" applyFont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1AA7-A755-44E3-87E7-B6D5B2C972D9}">
  <dimension ref="A1:H21"/>
  <sheetViews>
    <sheetView tabSelected="1" workbookViewId="0">
      <selection activeCell="E19" sqref="E19"/>
    </sheetView>
  </sheetViews>
  <sheetFormatPr defaultRowHeight="14.4" x14ac:dyDescent="0.3"/>
  <cols>
    <col min="1" max="1" width="21.33203125" bestFit="1" customWidth="1"/>
    <col min="2" max="2" width="10.44140625" bestFit="1" customWidth="1"/>
    <col min="3" max="3" width="18.44140625" bestFit="1" customWidth="1"/>
    <col min="4" max="4" width="18.44140625" customWidth="1"/>
    <col min="5" max="5" width="24.44140625" bestFit="1" customWidth="1"/>
    <col min="6" max="6" width="29.77734375" bestFit="1" customWidth="1"/>
    <col min="8" max="8" width="10.44140625" bestFit="1" customWidth="1"/>
  </cols>
  <sheetData>
    <row r="1" spans="1:8" x14ac:dyDescent="0.3">
      <c r="A1" s="1"/>
    </row>
    <row r="2" spans="1:8" ht="15.6" x14ac:dyDescent="0.3">
      <c r="A2" s="2" t="s">
        <v>0</v>
      </c>
      <c r="B2" s="2" t="s">
        <v>1</v>
      </c>
      <c r="C2" s="2" t="s">
        <v>2</v>
      </c>
      <c r="D2" s="2" t="s">
        <v>18</v>
      </c>
      <c r="E2" s="2" t="s">
        <v>17</v>
      </c>
      <c r="F2" s="2" t="s">
        <v>19</v>
      </c>
      <c r="G2" s="3"/>
      <c r="H2" s="3"/>
    </row>
    <row r="3" spans="1:8" ht="15.6" x14ac:dyDescent="0.3">
      <c r="A3" s="3" t="s">
        <v>3</v>
      </c>
      <c r="B3" s="5">
        <v>42650.338000000003</v>
      </c>
      <c r="C3" s="10">
        <v>37.739800000000002</v>
      </c>
      <c r="D3" s="10">
        <v>2.1484843320000002</v>
      </c>
      <c r="E3" s="3">
        <f t="shared" ref="E3:E15" si="0">B3*C3</f>
        <v>1609615.2260524002</v>
      </c>
      <c r="F3" s="3">
        <f>B3*D3</f>
        <v>91633.582947504226</v>
      </c>
      <c r="G3" s="3"/>
      <c r="H3" s="5"/>
    </row>
    <row r="4" spans="1:8" ht="15.6" x14ac:dyDescent="0.3">
      <c r="A4" s="3" t="s">
        <v>4</v>
      </c>
      <c r="B4" s="5">
        <v>48539.61</v>
      </c>
      <c r="C4" s="10">
        <v>39.242609999999999</v>
      </c>
      <c r="D4" s="10">
        <v>-0.61457964639999996</v>
      </c>
      <c r="E4" s="3">
        <f t="shared" si="0"/>
        <v>1904820.9847821</v>
      </c>
      <c r="F4" s="3">
        <f t="shared" ref="F4:F15" si="1">B4*D4</f>
        <v>-29831.456350193901</v>
      </c>
      <c r="G4" s="3"/>
      <c r="H4" s="3"/>
    </row>
    <row r="5" spans="1:8" ht="15.6" x14ac:dyDescent="0.3">
      <c r="A5" s="3" t="s">
        <v>5</v>
      </c>
      <c r="B5" s="5">
        <v>4129.4938899999997</v>
      </c>
      <c r="C5" s="10">
        <v>73.013819999999996</v>
      </c>
      <c r="D5" s="10">
        <v>3.32174972399</v>
      </c>
      <c r="E5" s="3">
        <f t="shared" si="0"/>
        <v>301510.12357555976</v>
      </c>
      <c r="F5" s="3">
        <f t="shared" si="1"/>
        <v>13717.145189325891</v>
      </c>
      <c r="G5" s="3"/>
      <c r="H5" s="3"/>
    </row>
    <row r="6" spans="1:8" ht="15.6" x14ac:dyDescent="0.3">
      <c r="A6" s="3" t="s">
        <v>6</v>
      </c>
      <c r="B6" s="5">
        <v>3788.0927999999999</v>
      </c>
      <c r="C6" s="10">
        <v>74.133020000000002</v>
      </c>
      <c r="D6" s="10">
        <v>9.7891150262900002</v>
      </c>
      <c r="E6" s="3">
        <f t="shared" si="0"/>
        <v>280822.759304256</v>
      </c>
      <c r="F6" s="3">
        <f t="shared" si="1"/>
        <v>37082.076149460961</v>
      </c>
      <c r="G6" s="3"/>
      <c r="H6" s="3"/>
    </row>
    <row r="7" spans="1:8" ht="15.6" x14ac:dyDescent="0.3">
      <c r="A7" s="3" t="s">
        <v>7</v>
      </c>
      <c r="B7" s="3">
        <f>9813.7*2</f>
        <v>19627.400000000001</v>
      </c>
      <c r="C7" s="10">
        <v>33.584560000000003</v>
      </c>
      <c r="D7" s="10">
        <v>-3.3051483375899999</v>
      </c>
      <c r="E7" s="3">
        <f t="shared" si="0"/>
        <v>659177.59294400015</v>
      </c>
      <c r="F7" s="3">
        <f t="shared" si="1"/>
        <v>-64871.468481213968</v>
      </c>
      <c r="G7" s="3"/>
      <c r="H7" s="3"/>
    </row>
    <row r="8" spans="1:8" ht="15.6" x14ac:dyDescent="0.3">
      <c r="A8" s="3" t="s">
        <v>8</v>
      </c>
      <c r="B8" s="3">
        <v>10556.298631</v>
      </c>
      <c r="C8" s="10">
        <v>42.52</v>
      </c>
      <c r="D8" s="3">
        <v>-0.9</v>
      </c>
      <c r="E8" s="3">
        <f>B8*C9</f>
        <v>69038.193046739994</v>
      </c>
      <c r="F8" s="3">
        <f t="shared" si="1"/>
        <v>-9500.6687679000006</v>
      </c>
      <c r="G8" s="3"/>
      <c r="H8" s="3"/>
    </row>
    <row r="9" spans="1:8" ht="15.6" x14ac:dyDescent="0.3">
      <c r="A9" s="3" t="s">
        <v>9</v>
      </c>
      <c r="B9" s="3">
        <v>1862.876229</v>
      </c>
      <c r="C9" s="3">
        <v>6.54</v>
      </c>
      <c r="D9" s="3">
        <v>-0.9</v>
      </c>
      <c r="E9" s="3">
        <f>B9*C9</f>
        <v>12183.210537659999</v>
      </c>
      <c r="F9" s="3">
        <f t="shared" si="1"/>
        <v>-1676.5886061000001</v>
      </c>
      <c r="G9" s="3"/>
      <c r="H9" s="3"/>
    </row>
    <row r="10" spans="1:8" ht="15.6" x14ac:dyDescent="0.3">
      <c r="A10" s="3" t="s">
        <v>10</v>
      </c>
      <c r="B10" s="3">
        <v>48273.93</v>
      </c>
      <c r="C10" s="3">
        <v>40.938000000000002</v>
      </c>
      <c r="D10" s="10">
        <v>3.39642889858</v>
      </c>
      <c r="E10" s="3">
        <f t="shared" si="0"/>
        <v>1976238.1463400002</v>
      </c>
      <c r="F10" s="3">
        <f t="shared" si="1"/>
        <v>163958.97090002801</v>
      </c>
      <c r="G10" s="3"/>
      <c r="H10" s="3"/>
    </row>
    <row r="11" spans="1:8" ht="15.6" x14ac:dyDescent="0.3">
      <c r="A11" s="3" t="s">
        <v>16</v>
      </c>
      <c r="B11" s="3">
        <f>(0.5*430^(1.33)*9) + 15*440</f>
        <v>20912.831539079314</v>
      </c>
      <c r="C11" s="10">
        <v>30.160153000000001</v>
      </c>
      <c r="D11" s="10">
        <v>0.80869797721500003</v>
      </c>
      <c r="E11" s="3">
        <f t="shared" si="0"/>
        <v>630734.19888185756</v>
      </c>
      <c r="F11" s="3">
        <f t="shared" si="1"/>
        <v>16912.164563491497</v>
      </c>
      <c r="G11" s="3"/>
      <c r="H11" s="3"/>
    </row>
    <row r="12" spans="1:8" ht="15.6" x14ac:dyDescent="0.3">
      <c r="A12" s="3" t="s">
        <v>15</v>
      </c>
      <c r="B12" s="3">
        <f>443*100</f>
        <v>44300</v>
      </c>
      <c r="C12" s="10">
        <f>C11</f>
        <v>30.160153000000001</v>
      </c>
      <c r="D12" s="10">
        <f>D11</f>
        <v>0.80869797721500003</v>
      </c>
      <c r="E12" s="3">
        <f t="shared" si="0"/>
        <v>1336094.7779000001</v>
      </c>
      <c r="F12" s="3">
        <f t="shared" si="1"/>
        <v>35825.320390624503</v>
      </c>
      <c r="G12" s="3"/>
      <c r="H12" s="3"/>
    </row>
    <row r="13" spans="1:8" ht="15.6" x14ac:dyDescent="0.3">
      <c r="A13" s="3" t="s">
        <v>11</v>
      </c>
      <c r="B13" s="3">
        <f>121</f>
        <v>121</v>
      </c>
      <c r="C13" s="10">
        <v>6.8001085999999997</v>
      </c>
      <c r="D13" s="10">
        <v>2.7686956521699999</v>
      </c>
      <c r="E13" s="3">
        <f t="shared" si="0"/>
        <v>822.8131406</v>
      </c>
      <c r="F13" s="3">
        <f t="shared" si="1"/>
        <v>335.01217391257001</v>
      </c>
      <c r="G13" s="3"/>
      <c r="H13" s="3"/>
    </row>
    <row r="14" spans="1:8" ht="15.6" x14ac:dyDescent="0.3">
      <c r="A14" s="3" t="s">
        <v>12</v>
      </c>
      <c r="B14" s="3">
        <v>10750</v>
      </c>
      <c r="C14" s="10">
        <v>30.154</v>
      </c>
      <c r="D14" s="3">
        <v>-0.85899999999999999</v>
      </c>
      <c r="E14" s="3">
        <f t="shared" si="0"/>
        <v>324155.5</v>
      </c>
      <c r="F14" s="3">
        <f t="shared" si="1"/>
        <v>-9234.25</v>
      </c>
      <c r="G14" s="3"/>
      <c r="H14" s="3"/>
    </row>
    <row r="15" spans="1:8" ht="15.6" x14ac:dyDescent="0.3">
      <c r="A15" s="4" t="s">
        <v>13</v>
      </c>
      <c r="B15" s="4">
        <v>48273.93</v>
      </c>
      <c r="C15" s="4">
        <f>C10</f>
        <v>40.938000000000002</v>
      </c>
      <c r="D15" s="11">
        <f>D10</f>
        <v>3.39642889858</v>
      </c>
      <c r="E15" s="4">
        <f t="shared" si="0"/>
        <v>1976238.1463400002</v>
      </c>
      <c r="F15" s="4">
        <f t="shared" si="1"/>
        <v>163958.97090002801</v>
      </c>
      <c r="G15" s="3"/>
      <c r="H15" s="3"/>
    </row>
    <row r="16" spans="1:8" ht="15.6" x14ac:dyDescent="0.3">
      <c r="A16" s="3"/>
      <c r="B16" s="2" t="s">
        <v>14</v>
      </c>
      <c r="C16" s="3"/>
      <c r="D16" s="3"/>
      <c r="E16" s="9" t="s">
        <v>20</v>
      </c>
      <c r="F16" s="2" t="s">
        <v>22</v>
      </c>
      <c r="H16" s="3"/>
    </row>
    <row r="17" spans="1:8" ht="15.6" x14ac:dyDescent="0.3">
      <c r="A17" s="3"/>
      <c r="B17" s="5">
        <f>SUM(B3:B15)</f>
        <v>303785.80108907929</v>
      </c>
      <c r="C17" s="3"/>
      <c r="D17" s="3"/>
      <c r="E17" s="7">
        <f>SUM(E3:E15)</f>
        <v>11081451.672845175</v>
      </c>
      <c r="F17" s="3">
        <f>SUM(F3:F15)</f>
        <v>408308.81100896781</v>
      </c>
      <c r="H17" s="3"/>
    </row>
    <row r="18" spans="1:8" ht="15.6" x14ac:dyDescent="0.3">
      <c r="E18" s="6" t="s">
        <v>21</v>
      </c>
      <c r="F18" s="2" t="s">
        <v>23</v>
      </c>
    </row>
    <row r="19" spans="1:8" ht="15.6" x14ac:dyDescent="0.3">
      <c r="E19" s="7">
        <f>E17/B17</f>
        <v>36.477846012282036</v>
      </c>
      <c r="F19">
        <f>F17/B17</f>
        <v>1.3440681215026213</v>
      </c>
    </row>
    <row r="20" spans="1:8" ht="15.6" x14ac:dyDescent="0.3">
      <c r="E20" s="8"/>
      <c r="F20" s="2" t="s">
        <v>24</v>
      </c>
    </row>
    <row r="21" spans="1:8" ht="15.6" x14ac:dyDescent="0.3">
      <c r="E21" s="8"/>
      <c r="F21" s="3">
        <f>F19 + 6.34618</f>
        <v>7.6902481215026217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5302-B433-4524-9F01-64195F823D74}">
  <dimension ref="A1:F20"/>
  <sheetViews>
    <sheetView workbookViewId="0">
      <selection activeCell="E26" sqref="E26"/>
    </sheetView>
  </sheetViews>
  <sheetFormatPr defaultRowHeight="14.4" x14ac:dyDescent="0.3"/>
  <cols>
    <col min="1" max="1" width="21.33203125" bestFit="1" customWidth="1"/>
    <col min="2" max="2" width="13.33203125" bestFit="1" customWidth="1"/>
    <col min="3" max="3" width="18.44140625" bestFit="1" customWidth="1"/>
    <col min="4" max="4" width="18.33203125" bestFit="1" customWidth="1"/>
    <col min="5" max="5" width="24.44140625" bestFit="1" customWidth="1"/>
    <col min="6" max="6" width="29.777343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18</v>
      </c>
      <c r="E1" s="2" t="s">
        <v>17</v>
      </c>
      <c r="F1" s="2" t="s">
        <v>19</v>
      </c>
    </row>
    <row r="2" spans="1:6" ht="15.6" x14ac:dyDescent="0.3">
      <c r="A2" s="3" t="s">
        <v>3</v>
      </c>
      <c r="B2" s="5">
        <v>42650.338000000003</v>
      </c>
      <c r="C2" s="10">
        <v>37.739800000000002</v>
      </c>
      <c r="D2" s="10">
        <v>2.1484843320000002</v>
      </c>
      <c r="E2" s="3">
        <f t="shared" ref="E2:E14" si="0">B2*C2</f>
        <v>1609615.2260524002</v>
      </c>
      <c r="F2" s="3">
        <f>B2*D2</f>
        <v>91633.582947504226</v>
      </c>
    </row>
    <row r="3" spans="1:6" ht="15.6" x14ac:dyDescent="0.3">
      <c r="A3" s="3" t="s">
        <v>4</v>
      </c>
      <c r="B3" s="5">
        <v>48539.61</v>
      </c>
      <c r="C3" s="10">
        <v>39.242609999999999</v>
      </c>
      <c r="D3" s="10">
        <v>-0.61457964639999996</v>
      </c>
      <c r="E3" s="3">
        <f t="shared" si="0"/>
        <v>1904820.9847821</v>
      </c>
      <c r="F3" s="3">
        <f t="shared" ref="F3:F14" si="1">B3*D3</f>
        <v>-29831.456350193901</v>
      </c>
    </row>
    <row r="4" spans="1:6" ht="15.6" x14ac:dyDescent="0.3">
      <c r="A4" s="3" t="s">
        <v>5</v>
      </c>
      <c r="B4" s="5">
        <v>4129.4938899999997</v>
      </c>
      <c r="C4" s="10">
        <v>73.013819999999996</v>
      </c>
      <c r="D4" s="10">
        <v>3.32174972399</v>
      </c>
      <c r="E4" s="3">
        <f t="shared" si="0"/>
        <v>301510.12357555976</v>
      </c>
      <c r="F4" s="3">
        <f t="shared" si="1"/>
        <v>13717.145189325891</v>
      </c>
    </row>
    <row r="5" spans="1:6" ht="15.6" x14ac:dyDescent="0.3">
      <c r="A5" s="3" t="s">
        <v>6</v>
      </c>
      <c r="B5" s="5">
        <v>3788.0927999999999</v>
      </c>
      <c r="C5" s="10">
        <v>74.133020000000002</v>
      </c>
      <c r="D5" s="10">
        <v>9.7891150262900002</v>
      </c>
      <c r="E5" s="3">
        <f t="shared" si="0"/>
        <v>280822.759304256</v>
      </c>
      <c r="F5" s="3">
        <f t="shared" si="1"/>
        <v>37082.076149460961</v>
      </c>
    </row>
    <row r="6" spans="1:6" ht="15.6" x14ac:dyDescent="0.3">
      <c r="A6" s="3" t="s">
        <v>7</v>
      </c>
      <c r="B6" s="3">
        <f>9813.7*2</f>
        <v>19627.400000000001</v>
      </c>
      <c r="C6" s="10">
        <v>33.584560000000003</v>
      </c>
      <c r="D6" s="10">
        <v>-3.3051483375899999</v>
      </c>
      <c r="E6" s="3">
        <f t="shared" si="0"/>
        <v>659177.59294400015</v>
      </c>
      <c r="F6" s="3">
        <f t="shared" si="1"/>
        <v>-64871.468481213968</v>
      </c>
    </row>
    <row r="7" spans="1:6" ht="15.6" x14ac:dyDescent="0.3">
      <c r="A7" s="3" t="s">
        <v>8</v>
      </c>
      <c r="B7" s="3">
        <v>10556.298631</v>
      </c>
      <c r="C7" s="10">
        <v>42.52</v>
      </c>
      <c r="D7" s="3">
        <v>-0.9</v>
      </c>
      <c r="E7" s="3">
        <f t="shared" si="0"/>
        <v>448853.81779012003</v>
      </c>
      <c r="F7" s="3">
        <f t="shared" si="1"/>
        <v>-9500.6687679000006</v>
      </c>
    </row>
    <row r="8" spans="1:6" ht="15.6" x14ac:dyDescent="0.3">
      <c r="A8" s="3" t="s">
        <v>9</v>
      </c>
      <c r="B8" s="3">
        <v>1862.876229</v>
      </c>
      <c r="C8" s="3">
        <v>6.54</v>
      </c>
      <c r="D8" s="3">
        <v>-0.9</v>
      </c>
      <c r="E8" s="3">
        <f t="shared" si="0"/>
        <v>12183.210537659999</v>
      </c>
      <c r="F8" s="3">
        <f t="shared" si="1"/>
        <v>-1676.5886061000001</v>
      </c>
    </row>
    <row r="9" spans="1:6" ht="15.6" x14ac:dyDescent="0.3">
      <c r="A9" s="3" t="s">
        <v>10</v>
      </c>
      <c r="B9" s="3">
        <v>48273.93</v>
      </c>
      <c r="C9" s="3">
        <v>40.938000000000002</v>
      </c>
      <c r="D9" s="10">
        <v>3.39642889858</v>
      </c>
      <c r="E9" s="3">
        <f t="shared" si="0"/>
        <v>1976238.1463400002</v>
      </c>
      <c r="F9" s="3">
        <f t="shared" si="1"/>
        <v>163958.97090002801</v>
      </c>
    </row>
    <row r="10" spans="1:6" ht="15.6" x14ac:dyDescent="0.3">
      <c r="A10" s="3" t="s">
        <v>16</v>
      </c>
      <c r="B10" s="3">
        <f>(0.5*430^(1.33)*9) + 15*440</f>
        <v>20912.831539079314</v>
      </c>
      <c r="C10" s="10">
        <v>30.160153000000001</v>
      </c>
      <c r="D10" s="10">
        <v>0.80869797721500003</v>
      </c>
      <c r="E10" s="3">
        <f t="shared" si="0"/>
        <v>630734.19888185756</v>
      </c>
      <c r="F10" s="3">
        <f t="shared" si="1"/>
        <v>16912.164563491497</v>
      </c>
    </row>
    <row r="11" spans="1:6" ht="15.6" x14ac:dyDescent="0.3">
      <c r="A11" s="3" t="s">
        <v>15</v>
      </c>
      <c r="B11" s="3">
        <v>0</v>
      </c>
      <c r="C11" s="10">
        <f>C10</f>
        <v>30.160153000000001</v>
      </c>
      <c r="D11" s="10">
        <f>D10</f>
        <v>0.80869797721500003</v>
      </c>
      <c r="E11" s="3">
        <f t="shared" si="0"/>
        <v>0</v>
      </c>
      <c r="F11" s="3">
        <f t="shared" si="1"/>
        <v>0</v>
      </c>
    </row>
    <row r="12" spans="1:6" ht="15.6" x14ac:dyDescent="0.3">
      <c r="A12" s="3" t="s">
        <v>11</v>
      </c>
      <c r="B12" s="3">
        <f>121</f>
        <v>121</v>
      </c>
      <c r="C12" s="10">
        <v>6.8001085999999997</v>
      </c>
      <c r="D12" s="10">
        <v>2.7686956521699999</v>
      </c>
      <c r="E12" s="3">
        <f t="shared" si="0"/>
        <v>822.8131406</v>
      </c>
      <c r="F12" s="3">
        <f t="shared" si="1"/>
        <v>335.01217391257001</v>
      </c>
    </row>
    <row r="13" spans="1:6" ht="15.6" x14ac:dyDescent="0.3">
      <c r="A13" s="3" t="s">
        <v>12</v>
      </c>
      <c r="B13" s="3">
        <v>0</v>
      </c>
      <c r="C13" s="10">
        <v>30.154</v>
      </c>
      <c r="D13" s="3">
        <v>-0.85899999999999999</v>
      </c>
      <c r="E13" s="3">
        <f t="shared" si="0"/>
        <v>0</v>
      </c>
      <c r="F13" s="3">
        <f t="shared" si="1"/>
        <v>0</v>
      </c>
    </row>
    <row r="14" spans="1:6" ht="15.6" x14ac:dyDescent="0.3">
      <c r="A14" s="4" t="s">
        <v>13</v>
      </c>
      <c r="B14" s="4">
        <v>48273.93</v>
      </c>
      <c r="C14" s="4">
        <f>C9</f>
        <v>40.938000000000002</v>
      </c>
      <c r="D14" s="11">
        <f>D9</f>
        <v>3.39642889858</v>
      </c>
      <c r="E14" s="4">
        <f t="shared" si="0"/>
        <v>1976238.1463400002</v>
      </c>
      <c r="F14" s="4">
        <f t="shared" si="1"/>
        <v>163958.97090002801</v>
      </c>
    </row>
    <row r="15" spans="1:6" ht="15.6" x14ac:dyDescent="0.3">
      <c r="A15" s="3"/>
      <c r="B15" s="2" t="s">
        <v>14</v>
      </c>
      <c r="C15" s="3"/>
      <c r="D15" s="3"/>
      <c r="E15" s="9" t="s">
        <v>20</v>
      </c>
      <c r="F15" s="2" t="s">
        <v>22</v>
      </c>
    </row>
    <row r="16" spans="1:6" ht="15.6" x14ac:dyDescent="0.3">
      <c r="A16" s="3"/>
      <c r="B16" s="5">
        <f>SUM(B2:B14)</f>
        <v>248735.80108907929</v>
      </c>
      <c r="C16" s="3"/>
      <c r="D16" s="3"/>
      <c r="E16" s="7">
        <f>SUM(E2:E14)</f>
        <v>9801017.0196885541</v>
      </c>
      <c r="F16" s="3">
        <f>SUM(F2:F14)</f>
        <v>381717.74061834335</v>
      </c>
    </row>
    <row r="17" spans="5:6" ht="15.6" x14ac:dyDescent="0.3">
      <c r="E17" s="6" t="s">
        <v>21</v>
      </c>
      <c r="F17" s="2" t="s">
        <v>23</v>
      </c>
    </row>
    <row r="18" spans="5:6" ht="15.6" x14ac:dyDescent="0.3">
      <c r="E18" s="7">
        <f>E16/B16</f>
        <v>39.403322628971026</v>
      </c>
      <c r="F18">
        <f>F16/B16</f>
        <v>1.5346312792408983</v>
      </c>
    </row>
    <row r="19" spans="5:6" ht="15.6" x14ac:dyDescent="0.3">
      <c r="E19" s="8"/>
      <c r="F19" s="2" t="s">
        <v>24</v>
      </c>
    </row>
    <row r="20" spans="5:6" ht="15.6" x14ac:dyDescent="0.3">
      <c r="E20" s="8"/>
      <c r="F20" s="3">
        <f>F18 + 6.34618</f>
        <v>7.8808112792408984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36DD-4C64-428B-B6A2-87C55A4A39FB}">
  <dimension ref="A1:F20"/>
  <sheetViews>
    <sheetView workbookViewId="0">
      <selection activeCell="H17" sqref="H17"/>
    </sheetView>
  </sheetViews>
  <sheetFormatPr defaultRowHeight="14.4" x14ac:dyDescent="0.3"/>
  <cols>
    <col min="1" max="1" width="21.33203125" bestFit="1" customWidth="1"/>
    <col min="2" max="2" width="13.33203125" bestFit="1" customWidth="1"/>
    <col min="3" max="3" width="18.44140625" bestFit="1" customWidth="1"/>
    <col min="4" max="4" width="18.33203125" bestFit="1" customWidth="1"/>
    <col min="5" max="5" width="24.44140625" bestFit="1" customWidth="1"/>
    <col min="6" max="6" width="29.777343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18</v>
      </c>
      <c r="E1" s="2" t="s">
        <v>17</v>
      </c>
      <c r="F1" s="2" t="s">
        <v>19</v>
      </c>
    </row>
    <row r="2" spans="1:6" ht="15.6" x14ac:dyDescent="0.3">
      <c r="A2" s="3" t="s">
        <v>3</v>
      </c>
      <c r="B2" s="5">
        <v>42650.338000000003</v>
      </c>
      <c r="C2" s="10">
        <v>37.739800000000002</v>
      </c>
      <c r="D2" s="10">
        <v>2.1484843320000002</v>
      </c>
      <c r="E2" s="3">
        <f t="shared" ref="E2:E14" si="0">B2*C2</f>
        <v>1609615.2260524002</v>
      </c>
      <c r="F2" s="3">
        <f>B2*D2</f>
        <v>91633.582947504226</v>
      </c>
    </row>
    <row r="3" spans="1:6" ht="15.6" x14ac:dyDescent="0.3">
      <c r="A3" s="3" t="s">
        <v>4</v>
      </c>
      <c r="B3" s="5">
        <v>48539.61</v>
      </c>
      <c r="C3" s="10">
        <v>39.242609999999999</v>
      </c>
      <c r="D3" s="10">
        <v>-0.61457964639999996</v>
      </c>
      <c r="E3" s="3">
        <f t="shared" si="0"/>
        <v>1904820.9847821</v>
      </c>
      <c r="F3" s="3">
        <f t="shared" ref="F3:F14" si="1">B3*D3</f>
        <v>-29831.456350193901</v>
      </c>
    </row>
    <row r="4" spans="1:6" ht="15.6" x14ac:dyDescent="0.3">
      <c r="A4" s="3" t="s">
        <v>5</v>
      </c>
      <c r="B4" s="5">
        <v>4129.4938899999997</v>
      </c>
      <c r="C4" s="10">
        <v>73.013819999999996</v>
      </c>
      <c r="D4" s="10">
        <v>3.32174972399</v>
      </c>
      <c r="E4" s="3">
        <f t="shared" si="0"/>
        <v>301510.12357555976</v>
      </c>
      <c r="F4" s="3">
        <f t="shared" si="1"/>
        <v>13717.145189325891</v>
      </c>
    </row>
    <row r="5" spans="1:6" ht="15.6" x14ac:dyDescent="0.3">
      <c r="A5" s="3" t="s">
        <v>6</v>
      </c>
      <c r="B5" s="5">
        <v>3788.0927999999999</v>
      </c>
      <c r="C5" s="10">
        <v>74.133020000000002</v>
      </c>
      <c r="D5" s="10">
        <v>9.7891150262900002</v>
      </c>
      <c r="E5" s="3">
        <f t="shared" si="0"/>
        <v>280822.759304256</v>
      </c>
      <c r="F5" s="3">
        <f t="shared" si="1"/>
        <v>37082.076149460961</v>
      </c>
    </row>
    <row r="6" spans="1:6" ht="15.6" x14ac:dyDescent="0.3">
      <c r="A6" s="3" t="s">
        <v>7</v>
      </c>
      <c r="B6" s="3">
        <f>9813.7*2</f>
        <v>19627.400000000001</v>
      </c>
      <c r="C6" s="10">
        <v>33.584560000000003</v>
      </c>
      <c r="D6" s="10">
        <v>-3.3051483375899999</v>
      </c>
      <c r="E6" s="3">
        <f t="shared" si="0"/>
        <v>659177.59294400015</v>
      </c>
      <c r="F6" s="3">
        <f t="shared" si="1"/>
        <v>-64871.468481213968</v>
      </c>
    </row>
    <row r="7" spans="1:6" ht="15.6" x14ac:dyDescent="0.3">
      <c r="A7" s="3" t="s">
        <v>8</v>
      </c>
      <c r="B7" s="3">
        <v>10556.298631</v>
      </c>
      <c r="C7" s="10">
        <v>42.52</v>
      </c>
      <c r="D7" s="3">
        <v>-0.9</v>
      </c>
      <c r="E7" s="3">
        <f t="shared" si="0"/>
        <v>448853.81779012003</v>
      </c>
      <c r="F7" s="3">
        <f t="shared" si="1"/>
        <v>-9500.6687679000006</v>
      </c>
    </row>
    <row r="8" spans="1:6" ht="15.6" x14ac:dyDescent="0.3">
      <c r="A8" s="3" t="s">
        <v>9</v>
      </c>
      <c r="B8" s="3">
        <v>1862.876229</v>
      </c>
      <c r="C8" s="3">
        <v>6.54</v>
      </c>
      <c r="D8" s="3">
        <v>-0.9</v>
      </c>
      <c r="E8" s="3">
        <f t="shared" si="0"/>
        <v>12183.210537659999</v>
      </c>
      <c r="F8" s="3">
        <f t="shared" si="1"/>
        <v>-1676.5886061000001</v>
      </c>
    </row>
    <row r="9" spans="1:6" ht="15.6" x14ac:dyDescent="0.3">
      <c r="A9" s="3" t="s">
        <v>10</v>
      </c>
      <c r="B9" s="3">
        <v>48273.93</v>
      </c>
      <c r="C9" s="3">
        <v>40.938000000000002</v>
      </c>
      <c r="D9" s="10">
        <v>3.39642889858</v>
      </c>
      <c r="E9" s="3">
        <f t="shared" si="0"/>
        <v>1976238.1463400002</v>
      </c>
      <c r="F9" s="3">
        <f t="shared" si="1"/>
        <v>163958.97090002801</v>
      </c>
    </row>
    <row r="10" spans="1:6" ht="15.6" x14ac:dyDescent="0.3">
      <c r="A10" s="3" t="s">
        <v>16</v>
      </c>
      <c r="B10" s="3">
        <f>(0.5*430^(1.33)*9) + 15*440</f>
        <v>20912.831539079314</v>
      </c>
      <c r="C10" s="10">
        <v>30.160153000000001</v>
      </c>
      <c r="D10" s="10">
        <v>0.80869797721500003</v>
      </c>
      <c r="E10" s="3">
        <f t="shared" si="0"/>
        <v>630734.19888185756</v>
      </c>
      <c r="F10" s="3">
        <f t="shared" si="1"/>
        <v>16912.164563491497</v>
      </c>
    </row>
    <row r="11" spans="1:6" ht="15.6" x14ac:dyDescent="0.3">
      <c r="A11" s="3" t="s">
        <v>15</v>
      </c>
      <c r="B11" s="3">
        <f>443*100</f>
        <v>44300</v>
      </c>
      <c r="C11" s="10">
        <f>C10</f>
        <v>30.160153000000001</v>
      </c>
      <c r="D11" s="10">
        <f>D10</f>
        <v>0.80869797721500003</v>
      </c>
      <c r="E11" s="3">
        <f t="shared" si="0"/>
        <v>1336094.7779000001</v>
      </c>
      <c r="F11" s="3">
        <f t="shared" si="1"/>
        <v>35825.320390624503</v>
      </c>
    </row>
    <row r="12" spans="1:6" ht="15.6" x14ac:dyDescent="0.3">
      <c r="A12" s="3" t="s">
        <v>11</v>
      </c>
      <c r="B12" s="3">
        <f>121</f>
        <v>121</v>
      </c>
      <c r="C12" s="10">
        <v>6.8001085999999997</v>
      </c>
      <c r="D12" s="10">
        <v>2.7686956521699999</v>
      </c>
      <c r="E12" s="3">
        <f t="shared" si="0"/>
        <v>822.8131406</v>
      </c>
      <c r="F12" s="3">
        <f t="shared" si="1"/>
        <v>335.01217391257001</v>
      </c>
    </row>
    <row r="13" spans="1:6" ht="15.6" x14ac:dyDescent="0.3">
      <c r="A13" s="3" t="s">
        <v>12</v>
      </c>
      <c r="B13" s="3">
        <v>10750</v>
      </c>
      <c r="C13" s="10">
        <v>30.154</v>
      </c>
      <c r="D13" s="3">
        <v>-0.85899999999999999</v>
      </c>
      <c r="E13" s="3">
        <f t="shared" si="0"/>
        <v>324155.5</v>
      </c>
      <c r="F13" s="3">
        <f t="shared" si="1"/>
        <v>-9234.25</v>
      </c>
    </row>
    <row r="14" spans="1:6" ht="15.6" x14ac:dyDescent="0.3">
      <c r="A14" s="4" t="s">
        <v>13</v>
      </c>
      <c r="B14" s="4">
        <v>0</v>
      </c>
      <c r="C14" s="4">
        <f>C9</f>
        <v>40.938000000000002</v>
      </c>
      <c r="D14" s="11">
        <f>D9</f>
        <v>3.39642889858</v>
      </c>
      <c r="E14" s="4">
        <f t="shared" si="0"/>
        <v>0</v>
      </c>
      <c r="F14" s="4">
        <f t="shared" si="1"/>
        <v>0</v>
      </c>
    </row>
    <row r="15" spans="1:6" ht="15.6" x14ac:dyDescent="0.3">
      <c r="A15" s="3"/>
      <c r="B15" s="2" t="s">
        <v>14</v>
      </c>
      <c r="C15" s="3"/>
      <c r="D15" s="3"/>
      <c r="E15" s="9" t="s">
        <v>20</v>
      </c>
      <c r="F15" s="2" t="s">
        <v>22</v>
      </c>
    </row>
    <row r="16" spans="1:6" ht="15.6" x14ac:dyDescent="0.3">
      <c r="A16" s="3"/>
      <c r="B16" s="5">
        <f>SUM(B2:B14)</f>
        <v>255511.8710890793</v>
      </c>
      <c r="C16" s="3"/>
      <c r="D16" s="3"/>
      <c r="E16" s="7">
        <f>SUM(E2:E14)</f>
        <v>9485029.1512485556</v>
      </c>
      <c r="F16" s="3">
        <f>SUM(F2:F14)</f>
        <v>244349.84010893982</v>
      </c>
    </row>
    <row r="17" spans="5:6" ht="15.6" x14ac:dyDescent="0.3">
      <c r="E17" s="6" t="s">
        <v>21</v>
      </c>
      <c r="F17" s="2" t="s">
        <v>23</v>
      </c>
    </row>
    <row r="18" spans="5:6" ht="15.6" x14ac:dyDescent="0.3">
      <c r="E18" s="7">
        <f>E16/B16</f>
        <v>37.121677011796379</v>
      </c>
      <c r="F18">
        <f>F16/B16</f>
        <v>0.95631501999275781</v>
      </c>
    </row>
    <row r="19" spans="5:6" ht="15.6" x14ac:dyDescent="0.3">
      <c r="E19" s="8"/>
      <c r="F19" s="2" t="s">
        <v>24</v>
      </c>
    </row>
    <row r="20" spans="5:6" ht="15.6" x14ac:dyDescent="0.3">
      <c r="E20" s="8"/>
      <c r="F20" s="3">
        <f>F18 + 6.34618</f>
        <v>7.3024950199927581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CG Full payload + Full Fuel</vt:lpstr>
      <vt:lpstr>CG Zero Payload + Full Fuel</vt:lpstr>
      <vt:lpstr>CG Full Payload + Zero 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Cevin Åström</dc:creator>
  <cp:lastModifiedBy>Cevin Åström</cp:lastModifiedBy>
  <dcterms:created xsi:type="dcterms:W3CDTF">2026-10-14T13:32:29Z</dcterms:created>
  <dcterms:modified xsi:type="dcterms:W3CDTF">2026-10-20T09:30:38Z</dcterms:modified>
</cp:coreProperties>
</file>